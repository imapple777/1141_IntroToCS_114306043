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4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<sst xmlns="http://schemas.openxmlformats.org/spreadsheetml/2006/main" count="39" uniqueCount="39">
  <si>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number</t>
  </si>
  <si>
    <t>name</t>
  </si>
  <si>
    <t>Exam1</t>
  </si>
  <si>
    <t>Exam2</t>
  </si>
  <si>
    <t>Exam3</t>
  </si>
  <si>
    <t>Exam4</t>
  </si>
  <si>
    <t>Exam5</t>
  </si>
  <si>
    <t>Q1: Exam_Average</t>
  </si>
  <si>
    <t>Midterm</t>
  </si>
  <si>
    <t>Q2: overall score</t>
  </si>
  <si>
    <t>Q3</t>
  </si>
  <si>
    <t>Q4</t>
  </si>
  <si>
    <t>何大美</t>
  </si>
  <si>
    <t>A</t>
  </si>
  <si>
    <t>陳慢慢</t>
  </si>
  <si>
    <t>B</t>
  </si>
  <si>
    <t>黃阿坤</t>
  </si>
  <si>
    <t>C</t>
  </si>
  <si>
    <t>李大仁</t>
  </si>
  <si>
    <t>D</t>
  </si>
  <si>
    <t>陳小奇</t>
  </si>
  <si>
    <t>F</t>
  </si>
  <si>
    <t>羅小花</t>
  </si>
  <si>
    <t>李小君</t>
  </si>
  <si>
    <t>Pass</t>
  </si>
  <si>
    <t>李大輝</t>
  </si>
  <si>
    <t>Fail</t>
  </si>
  <si>
    <t>白阿國</t>
  </si>
  <si>
    <t>王小明</t>
  </si>
  <si>
    <t>李大月</t>
  </si>
  <si>
    <t>林大義</t>
  </si>
  <si>
    <t>宋小倫</t>
  </si>
  <si>
    <t>許亮亮</t>
  </si>
  <si>
    <r>
      <rPr>
        <sz val="12"/>
        <color theme="1"/>
        <rFont val="Calibri"/>
        <charset val="136"/>
        <scheme val="minor"/>
      </rPr>
      <t xml:space="preserve">Q6 answer </t>
    </r>
    <r>
      <rPr>
        <sz val="12"/>
        <color theme="1"/>
        <rFont val="Wingdings"/>
        <charset val="2"/>
      </rPr>
      <t>ò</t>
    </r>
  </si>
  <si>
    <r>
      <rPr>
        <sz val="12"/>
        <color theme="1"/>
        <rFont val="Calibri"/>
        <charset val="136"/>
        <scheme val="minor"/>
      </rPr>
      <t xml:space="preserve">Q7 answer </t>
    </r>
    <r>
      <rPr>
        <sz val="12"/>
        <color theme="1"/>
        <rFont val="Wingdings"/>
        <charset val="2"/>
      </rPr>
      <t>ò</t>
    </r>
  </si>
  <si>
    <r>
      <rPr>
        <sz val="12"/>
        <color theme="1"/>
        <rFont val="Calibri"/>
        <charset val="136"/>
        <scheme val="minor"/>
      </rPr>
      <t xml:space="preserve">Q8 answer </t>
    </r>
    <r>
      <rPr>
        <sz val="12"/>
        <color theme="1"/>
        <rFont val="Wingdings"/>
        <charset val="2"/>
      </rPr>
      <t>ò</t>
    </r>
  </si>
  <si>
    <r>
      <rPr>
        <sz val="12"/>
        <color theme="1"/>
        <rFont val="Calibri"/>
        <charset val="136"/>
        <scheme val="minor"/>
      </rPr>
      <t xml:space="preserve">Q5 answer </t>
    </r>
    <r>
      <rPr>
        <sz val="12"/>
        <color theme="1"/>
        <rFont val="Wingdings"/>
        <charset val="2"/>
      </rPr>
      <t>ò</t>
    </r>
  </si>
  <si>
    <r>
      <rPr>
        <sz val="12"/>
        <color theme="1"/>
        <rFont val="Calibri"/>
        <charset val="136"/>
        <scheme val="minor"/>
      </rPr>
      <t xml:space="preserve">Q10 answer </t>
    </r>
    <r>
      <rPr>
        <sz val="12"/>
        <color theme="1"/>
        <rFont val="Wingdings"/>
        <charset val="2"/>
      </rPr>
      <t>ò</t>
    </r>
  </si>
  <si>
    <r>
      <rPr>
        <sz val="12"/>
        <color theme="1"/>
        <rFont val="Calibri"/>
        <charset val="136"/>
        <scheme val="minor"/>
      </rPr>
      <t xml:space="preserve">Q9 answer </t>
    </r>
    <r>
      <rPr>
        <sz val="12"/>
        <color theme="1"/>
        <rFont val="Wingdings"/>
        <charset val="2"/>
      </rPr>
      <t>ò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</si>
</sst>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4">
    <font>
      <sz val="12"/>
      <color theme="1"/>
      <name val="Calibri"/>
      <charset val="136"/>
      <scheme val="minor"/>
    </font>
    <font>
      <sz val="12"/>
      <color theme="1"/>
      <name val="PMingLiu"/>
      <charset val="136"/>
    </font>
    <font>
      <sz val="12"/>
      <color rgb="FF000000"/>
      <name val="PMingLiu"/>
      <charset val="136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Wingdings"/>
      <charset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3">
    <dxf>
      <fill>
        <patternFill patternType="solid">
          <bgColor rgb="FFE02C14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D01C1C"/>
        </patternFill>
      </fill>
    </dxf>
  </dxfs>
  <tableStyles count="0" defaultTableStyle="TableStyleMedium2" defaultPivotStyle="PivotStyleLight16"/>
  <colors>
    <mruColors>
      <color rgb="00E02C14"/>
      <color rgb="00D01C1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HK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工作表1!$N$2:$N$6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工作表1!$O$2:$O$6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70771392"/>
        <c:axId val="238749517"/>
      </c:barChart>
      <c:catAx>
        <c:axId val="970771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749517"/>
        <c:crosses val="autoZero"/>
        <c:auto val="1"/>
        <c:lblAlgn val="ctr"/>
        <c:lblOffset val="100"/>
        <c:noMultiLvlLbl val="0"/>
      </c:catAx>
      <c:valAx>
        <c:axId val="2387495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77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HK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工作表1!$N$8:$N$9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工作表1!$O$8:$O$9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HK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83185</xdr:colOff>
      <xdr:row>24</xdr:row>
      <xdr:rowOff>99695</xdr:rowOff>
    </xdr:from>
    <xdr:to>
      <xdr:col>10</xdr:col>
      <xdr:colOff>715010</xdr:colOff>
      <xdr:row>33</xdr:row>
      <xdr:rowOff>177165</xdr:rowOff>
    </xdr:to>
    <xdr:graphicFrame>
      <xdr:nvGraphicFramePr>
        <xdr:cNvPr id="2" name="圖表 1"/>
        <xdr:cNvGraphicFramePr/>
      </xdr:nvGraphicFramePr>
      <xdr:xfrm>
        <a:off x="6915785" y="4966970"/>
        <a:ext cx="2545080" cy="1877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1490345</xdr:colOff>
      <xdr:row>16</xdr:row>
      <xdr:rowOff>79375</xdr:rowOff>
    </xdr:from>
    <xdr:to>
      <xdr:col>12</xdr:col>
      <xdr:colOff>539750</xdr:colOff>
      <xdr:row>28</xdr:row>
      <xdr:rowOff>53975</xdr:rowOff>
    </xdr:to>
    <xdr:graphicFrame>
      <xdr:nvGraphicFramePr>
        <xdr:cNvPr id="3" name="圖表 2"/>
        <xdr:cNvGraphicFramePr/>
      </xdr:nvGraphicFramePr>
      <xdr:xfrm>
        <a:off x="10236200" y="3346450"/>
        <a:ext cx="2647315" cy="2374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topLeftCell="C1" workbookViewId="0">
      <selection activeCell="L2" sqref="L2"/>
    </sheetView>
  </sheetViews>
  <sheetFormatPr defaultColWidth="9" defaultRowHeight="15.75"/>
  <cols>
    <col min="3" max="4" width="13" customWidth="1"/>
    <col min="8" max="8" width="18.6666666666667" customWidth="1"/>
    <col min="10" max="10" width="16.1083333333333" customWidth="1"/>
    <col min="11" max="11" width="24.2166666666667" customWidth="1"/>
    <col min="12" max="12" width="23" customWidth="1"/>
  </cols>
  <sheetData>
    <row r="1" ht="16.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ht="16.1" spans="1:15">
      <c r="A2" s="1">
        <v>4</v>
      </c>
      <c r="B2" s="1" t="s">
        <v>12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>AVERAGE(C2:G2)</f>
        <v>94.4</v>
      </c>
      <c r="I2" s="1">
        <v>89</v>
      </c>
      <c r="J2">
        <f>AVERAGE(C2:G2)*0.5+I2*0.5</f>
        <v>91.7</v>
      </c>
      <c r="K2" s="6" t="str">
        <f>IF(J2&gt;=90,"A",IF(J2&gt;=80,"B",IF(J2&gt;=70,"C",IF(J2&gt;=60,"D","F"))))</f>
        <v>A</v>
      </c>
      <c r="L2" s="6" t="str">
        <f>IF(J2&gt;=60,"Pass","Fail")</f>
        <v>Pass</v>
      </c>
      <c r="N2" s="7" t="s">
        <v>13</v>
      </c>
      <c r="O2">
        <f>COUNTIF(K2:K15,"A")</f>
        <v>2</v>
      </c>
    </row>
    <row r="3" ht="16.1" spans="1:15">
      <c r="A3" s="1">
        <v>3</v>
      </c>
      <c r="B3" s="1" t="s">
        <v>14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ref="H3:H15" si="0">AVERAGE(C3:G3)</f>
        <v>86</v>
      </c>
      <c r="I3" s="1">
        <v>94</v>
      </c>
      <c r="J3">
        <f t="shared" ref="J3:J15" si="1">AVERAGE(C3:G3)*0.5+I3*0.5</f>
        <v>90</v>
      </c>
      <c r="K3" s="6" t="str">
        <f t="shared" ref="K3:K15" si="2">IF(J3&gt;=90,"A",IF(J3&gt;=80,"B",IF(J3&gt;=70,"C",IF(J3&gt;=60,"D","F"))))</f>
        <v>A</v>
      </c>
      <c r="L3" s="6" t="str">
        <f t="shared" ref="L3:L15" si="3">IF(J3&gt;=60,"Pass","Fail")</f>
        <v>Pass</v>
      </c>
      <c r="N3" s="8" t="s">
        <v>15</v>
      </c>
      <c r="O3">
        <f>COUNTIF(K2:K15,"B")</f>
        <v>5</v>
      </c>
    </row>
    <row r="4" ht="16.1" spans="1:15">
      <c r="A4" s="1">
        <v>10</v>
      </c>
      <c r="B4" s="1" t="s">
        <v>16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81.2</v>
      </c>
      <c r="K4" s="6" t="str">
        <f t="shared" si="2"/>
        <v>B</v>
      </c>
      <c r="L4" s="6" t="str">
        <f t="shared" si="3"/>
        <v>Pass</v>
      </c>
      <c r="N4" s="8" t="s">
        <v>17</v>
      </c>
      <c r="O4">
        <f>COUNTIF(K2:K15,"C")</f>
        <v>4</v>
      </c>
    </row>
    <row r="5" ht="16.1" spans="1:15">
      <c r="A5" s="1">
        <v>6</v>
      </c>
      <c r="B5" s="1" t="s">
        <v>18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81.6</v>
      </c>
      <c r="I5" s="1">
        <v>80</v>
      </c>
      <c r="J5">
        <f t="shared" si="1"/>
        <v>80.8</v>
      </c>
      <c r="K5" s="6" t="str">
        <f t="shared" si="2"/>
        <v>B</v>
      </c>
      <c r="L5" s="6" t="str">
        <f t="shared" si="3"/>
        <v>Pass</v>
      </c>
      <c r="N5" s="8" t="s">
        <v>19</v>
      </c>
      <c r="O5">
        <f>COUNTIF(K2:K15,"D")</f>
        <v>1</v>
      </c>
    </row>
    <row r="6" ht="16.1" spans="1:15">
      <c r="A6" s="1">
        <v>2</v>
      </c>
      <c r="B6" s="1" t="s">
        <v>20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</v>
      </c>
      <c r="I6" s="1">
        <v>88</v>
      </c>
      <c r="J6">
        <f t="shared" si="1"/>
        <v>84.7</v>
      </c>
      <c r="K6" s="6" t="str">
        <f t="shared" si="2"/>
        <v>B</v>
      </c>
      <c r="L6" s="6" t="str">
        <f t="shared" si="3"/>
        <v>Pass</v>
      </c>
      <c r="N6" s="8" t="s">
        <v>21</v>
      </c>
      <c r="O6">
        <f>COUNTIF(K2:K15,"F")</f>
        <v>2</v>
      </c>
    </row>
    <row r="7" ht="16.1" spans="1:15">
      <c r="A7" s="1">
        <v>5</v>
      </c>
      <c r="B7" s="1" t="s">
        <v>22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80.6</v>
      </c>
      <c r="I7" s="1">
        <v>81</v>
      </c>
      <c r="J7">
        <f t="shared" si="1"/>
        <v>80.8</v>
      </c>
      <c r="K7" s="6" t="str">
        <f t="shared" si="2"/>
        <v>B</v>
      </c>
      <c r="L7" s="6" t="str">
        <f t="shared" si="3"/>
        <v>Pass</v>
      </c>
      <c r="N7" s="8"/>
      <c r="O7" s="9"/>
    </row>
    <row r="8" ht="16.1" spans="1:15">
      <c r="A8" s="1">
        <v>7</v>
      </c>
      <c r="B8" s="1" t="s">
        <v>23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77.9</v>
      </c>
      <c r="K8" s="6" t="str">
        <f t="shared" si="2"/>
        <v>C</v>
      </c>
      <c r="L8" s="6" t="str">
        <f t="shared" si="3"/>
        <v>Pass</v>
      </c>
      <c r="N8" t="s">
        <v>24</v>
      </c>
      <c r="O8">
        <f>COUNTIF(L2:L15,"Pass")</f>
        <v>12</v>
      </c>
    </row>
    <row r="9" ht="16.1" spans="1:15">
      <c r="A9" s="1">
        <v>9</v>
      </c>
      <c r="B9" s="1" t="s">
        <v>25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</v>
      </c>
      <c r="I9" s="1">
        <v>73</v>
      </c>
      <c r="J9">
        <f t="shared" si="1"/>
        <v>74.2</v>
      </c>
      <c r="K9" s="6" t="str">
        <f t="shared" si="2"/>
        <v>C</v>
      </c>
      <c r="L9" s="6" t="str">
        <f t="shared" si="3"/>
        <v>Pass</v>
      </c>
      <c r="N9" t="s">
        <v>26</v>
      </c>
      <c r="O9">
        <f>COUNTIF(L2:L15,"Fail")</f>
        <v>2</v>
      </c>
    </row>
    <row r="10" ht="16.1" spans="1:12">
      <c r="A10" s="1">
        <v>13</v>
      </c>
      <c r="B10" s="1" t="s">
        <v>27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</v>
      </c>
      <c r="I10" s="1">
        <v>77</v>
      </c>
      <c r="J10">
        <f t="shared" si="1"/>
        <v>75.2</v>
      </c>
      <c r="K10" s="6" t="str">
        <f t="shared" si="2"/>
        <v>C</v>
      </c>
      <c r="L10" s="6" t="str">
        <f t="shared" si="3"/>
        <v>Pass</v>
      </c>
    </row>
    <row r="11" ht="16.1" spans="1:12">
      <c r="A11" s="1">
        <v>1</v>
      </c>
      <c r="B11" s="1" t="s">
        <v>28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77.6</v>
      </c>
      <c r="K11" s="6" t="str">
        <f t="shared" si="2"/>
        <v>C</v>
      </c>
      <c r="L11" s="6" t="str">
        <f t="shared" si="3"/>
        <v>Pass</v>
      </c>
    </row>
    <row r="12" ht="16.1" spans="1:12">
      <c r="A12" s="1">
        <v>8</v>
      </c>
      <c r="B12" s="1" t="s">
        <v>29</v>
      </c>
      <c r="C12" s="1">
        <v>72</v>
      </c>
      <c r="D12" s="1">
        <v>83</v>
      </c>
      <c r="E12" s="1">
        <v>62</v>
      </c>
      <c r="F12" s="3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80.6</v>
      </c>
      <c r="K12" s="6" t="str">
        <f t="shared" si="2"/>
        <v>B</v>
      </c>
      <c r="L12" s="6" t="str">
        <f t="shared" si="3"/>
        <v>Pass</v>
      </c>
    </row>
    <row r="13" ht="16.1" spans="1:12">
      <c r="A13" s="1">
        <v>12</v>
      </c>
      <c r="B13" s="1" t="s">
        <v>30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59</v>
      </c>
      <c r="K13" s="6" t="str">
        <f t="shared" si="2"/>
        <v>F</v>
      </c>
      <c r="L13" s="6" t="str">
        <f t="shared" si="3"/>
        <v>Fail</v>
      </c>
    </row>
    <row r="14" ht="16.1" spans="1:12">
      <c r="A14" s="1">
        <v>11</v>
      </c>
      <c r="B14" s="1" t="s">
        <v>31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66.9</v>
      </c>
      <c r="K14" s="6" t="str">
        <f t="shared" si="2"/>
        <v>D</v>
      </c>
      <c r="L14" s="6" t="str">
        <f t="shared" si="3"/>
        <v>Pass</v>
      </c>
    </row>
    <row r="15" ht="16.1" spans="1:12">
      <c r="A15" s="1">
        <v>14</v>
      </c>
      <c r="B15" s="1" t="s">
        <v>32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55.6</v>
      </c>
      <c r="K15" s="6" t="str">
        <f t="shared" si="2"/>
        <v>F</v>
      </c>
      <c r="L15" s="6" t="str">
        <f t="shared" si="3"/>
        <v>Fail</v>
      </c>
    </row>
    <row r="16" spans="3:12">
      <c r="C16" s="4" t="s">
        <v>33</v>
      </c>
      <c r="D16" s="4" t="s">
        <v>34</v>
      </c>
      <c r="H16" s="4" t="s">
        <v>35</v>
      </c>
      <c r="J16" s="4" t="s">
        <v>36</v>
      </c>
      <c r="L16" s="4" t="s">
        <v>37</v>
      </c>
    </row>
    <row r="17" spans="3:10">
      <c r="C17" s="5">
        <f>MAX(C2:C15)</f>
        <v>98</v>
      </c>
      <c r="D17">
        <f>LARGE(D2:D15,2)</f>
        <v>92</v>
      </c>
      <c r="H17">
        <f>COUNTIF(H2:H15,"&lt;80")</f>
        <v>8</v>
      </c>
      <c r="J17" s="5">
        <f>AVERAGE(J2:J15)</f>
        <v>76.8714285714286</v>
      </c>
    </row>
    <row r="24" spans="10:10">
      <c r="J24" s="4" t="s">
        <v>38</v>
      </c>
    </row>
  </sheetData>
  <conditionalFormatting sqref="L13">
    <cfRule type="containsText" dxfId="0" priority="2" operator="between" text="Fail">
      <formula>NOT(ISERROR(SEARCH("Fail",L13)))</formula>
    </cfRule>
  </conditionalFormatting>
  <conditionalFormatting sqref="L2:L15">
    <cfRule type="containsText" dxfId="1" priority="3" operator="between" text="Pass">
      <formula>NOT(ISERROR(SEARCH("Pass",L2)))</formula>
    </cfRule>
    <cfRule type="containsText" dxfId="2" priority="1" operator="between" text="Fail">
      <formula>NOT(ISERROR(SEARCH("Fail",L2)))</formula>
    </cfRule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start</cp:lastModifiedBy>
  <dcterms:created xsi:type="dcterms:W3CDTF">2023-10-19T05:27:00Z</dcterms:created>
  <dcterms:modified xsi:type="dcterms:W3CDTF">2025-10-09T14:51:29Z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15ADF78FBE60454B98224D6541C38F64_13</vt:lpwstr>
  </property>
  <property fmtid="{D5CDD505-2E9C-101B-9397-08002B2CF9AE}" pid="3" name="KSOProductBuildVer">
    <vt:lpwstr>3076-12.2.0.22549</vt:lpwstr>
  </property>
</Properties>
</file>